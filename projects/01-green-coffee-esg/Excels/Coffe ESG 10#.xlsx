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_impact_data" sheetId="1" r:id="rId5"/>
    <sheet state="visible" name="Overview" sheetId="2" r:id="rId6"/>
    <sheet state="visible" name="Gantt" sheetId="3" r:id="rId7"/>
    <sheet state="visible" name="Budget" sheetId="4" r:id="rId8"/>
    <sheet state="visible" name="KPI Tracker" sheetId="5" r:id="rId9"/>
    <sheet state="visible" name="Risk Register" sheetId="6" r:id="rId10"/>
  </sheets>
  <definedNames/>
  <calcPr/>
</workbook>
</file>

<file path=xl/sharedStrings.xml><?xml version="1.0" encoding="utf-8"?>
<sst xmlns="http://schemas.openxmlformats.org/spreadsheetml/2006/main" count="294" uniqueCount="206">
  <si>
    <t>country</t>
  </si>
  <si>
    <t>quarter</t>
  </si>
  <si>
    <t>year</t>
  </si>
  <si>
    <t>producers_trained</t>
  </si>
  <si>
    <t>workshops_delivered</t>
  </si>
  <si>
    <t>adoption_rate_pct</t>
  </si>
  <si>
    <t>quality_improvement_pts</t>
  </si>
  <si>
    <t>technical_visits</t>
  </si>
  <si>
    <t>investment_usd</t>
  </si>
  <si>
    <t>satisfaction_score</t>
  </si>
  <si>
    <t>Brazil</t>
  </si>
  <si>
    <t>Q1</t>
  </si>
  <si>
    <t>Q2</t>
  </si>
  <si>
    <t>Q3</t>
  </si>
  <si>
    <t>Q4</t>
  </si>
  <si>
    <t>Colombia</t>
  </si>
  <si>
    <t>Peru</t>
  </si>
  <si>
    <t>Honduras</t>
  </si>
  <si>
    <t>Program Name: Coffee Quality Enhancement Program</t>
  </si>
  <si>
    <t>Duration: 12 months (Jan 2024 - Dec 2024)</t>
  </si>
  <si>
    <t>Countries: Brazil, Colombia, Peru, Honduras</t>
  </si>
  <si>
    <t>Total Budget: USD 500,000</t>
  </si>
  <si>
    <t>Target Beneficiaries: 2,000 coffee producers</t>
  </si>
  <si>
    <t>Key Components:</t>
  </si>
  <si>
    <t>1. Training &amp; Capacity Building</t>
  </si>
  <si>
    <t>2. Technical Assistance &amp; Field Support</t>
  </si>
  <si>
    <t>3. Quality Lab Equipment</t>
  </si>
  <si>
    <t>PROGRAM CONTEXT
This Excel workbook contains the complete project plan, budget, and monitoring 
framework for the Coffee Quality Enhancement Program—a 12-month initiative 
supporting 2,000 coffee producers across Brazil, Colombia, Peru, and Honduras.
The program focuses on improving post-harvest coffee quality through training, 
technical assistance, and laboratory equipment installation. This workbook 
serves as the primary project management tool for coordinating activities, 
tracking expenditures, and measuring impact.</t>
  </si>
  <si>
    <t xml:space="preserve">PROGRAM MONITORING DATA
   - Monthly progress on activities
   - Actual expenditures vs. planned budget
   - Producer participation numbers
   - Quality improvement measurements (cupping scores)
   PURPOSE: Track real-time implementation and adjust plans
</t>
  </si>
  <si>
    <t>"This book integrates data from multiple sources:
1. PROGRAM DESIGN DATA 
   - Activity schedules and timelines
   - Budget allocations by component and country
   - Target beneficiary numbers
   - Component definitions (Training, Technical Assistance, Equipment)
   PURPOSE: Establish baseline plan and resource allocation
2. FAOSTAT DATABASE (External - UN Food and Agriculture Organization)
   - Historical coffee production data by country (tonnes)
   - Used to estimate realistic capacity improvement targets
   - Accessible at: www.fao.org/faostat
   PURPOSE: Set evidence-based production targets
3. WORLD BANK OPEN DATA (External)
   - Agricultural employment rates (% of workforce)
   - Rural population growth rates
   - Investment indicators (% of GDP)
   - Used to contextualize program within country development trends
   - Accessible at: data.worldbank.org"</t>
  </si>
  <si>
    <t>"What does 70% adoption rate mean?"
  → Out of 100 producers trained, 70 are actually using the new practices
  → This is good! Industry average is 50-60%
"Why does Brazil get 35% of the budget?"
  → Brazil serves 40% of total producers (800 out of 2,000)
  → Larger scale = more workshops, more field visits, more equipment
"What is 'quality improvement' measured in points?"
  → Coffee quality is scored 0-100 by professional cuppers (Q Graders)
  → +5 points = noticeable difference in taste, higher price for farmers
  → +5.8 points actual = exceeded target!
"Is 100% budget utilization good or bad?"
  → GOOD! It means we spent exactly what we planned
  → Not overspending = responsible with donor funds
  → Not underspending = we delivered full program as promised</t>
  </si>
  <si>
    <t>Task ID</t>
  </si>
  <si>
    <t>Task Name</t>
  </si>
  <si>
    <t>Start Date</t>
  </si>
  <si>
    <t>End Date</t>
  </si>
  <si>
    <t>Duration</t>
  </si>
  <si>
    <t>Jan</t>
  </si>
  <si>
    <t>Feb</t>
  </si>
  <si>
    <t>Mar</t>
  </si>
  <si>
    <t>April</t>
  </si>
  <si>
    <t>May</t>
  </si>
  <si>
    <t>Jun</t>
  </si>
  <si>
    <t>Jul</t>
  </si>
  <si>
    <t>Aug</t>
  </si>
  <si>
    <t>Sep</t>
  </si>
  <si>
    <t>Oct</t>
  </si>
  <si>
    <t>Nov</t>
  </si>
  <si>
    <t>Dec</t>
  </si>
  <si>
    <t>Manager</t>
  </si>
  <si>
    <t>Project Kickoff</t>
  </si>
  <si>
    <t>E1 TEAM</t>
  </si>
  <si>
    <t>Baseline Assessment</t>
  </si>
  <si>
    <t>Training Module Development</t>
  </si>
  <si>
    <t>E2 TEAM</t>
  </si>
  <si>
    <t>Procurement - Lab Equipment</t>
  </si>
  <si>
    <t>E3 TEAM</t>
  </si>
  <si>
    <t>Training Delivery - Brazil</t>
  </si>
  <si>
    <t>Training Delivery - Colombia</t>
  </si>
  <si>
    <t>Training Delivery - Peru</t>
  </si>
  <si>
    <t>Training Delivery - Honduras</t>
  </si>
  <si>
    <t>Technical Assistance (ongoing)</t>
  </si>
  <si>
    <t>Lab Installation</t>
  </si>
  <si>
    <t>Mid-term Evaluation</t>
  </si>
  <si>
    <t>Final Assessment</t>
  </si>
  <si>
    <t>E1,E3 TEAM</t>
  </si>
  <si>
    <t>Report &amp; Lessons Learned</t>
  </si>
  <si>
    <t>E1,E2,E3 TEAM</t>
  </si>
  <si>
    <t>SPEBUDGET BREAKDOWN BY COMPONENT</t>
  </si>
  <si>
    <t>Component</t>
  </si>
  <si>
    <t>Budget USD</t>
  </si>
  <si>
    <t>% of Total</t>
  </si>
  <si>
    <t>Q1 2025</t>
  </si>
  <si>
    <t>Q2 2025</t>
  </si>
  <si>
    <t>Q3 2025</t>
  </si>
  <si>
    <t>Q4 2025</t>
  </si>
  <si>
    <t>Total Spent</t>
  </si>
  <si>
    <t>Variance</t>
  </si>
  <si>
    <t>Status</t>
  </si>
  <si>
    <t>Training and Capacity Building</t>
  </si>
  <si>
    <t>On Track</t>
  </si>
  <si>
    <t>Technical Assistance</t>
  </si>
  <si>
    <t>Under budget</t>
  </si>
  <si>
    <t>Quality Lab Equipment</t>
  </si>
  <si>
    <t>Over budget</t>
  </si>
  <si>
    <t>Total</t>
  </si>
  <si>
    <t xml:space="preserve">On Track </t>
  </si>
  <si>
    <t>BUDGET BY COUNTRY</t>
  </si>
  <si>
    <t>Country</t>
  </si>
  <si>
    <t>Training</t>
  </si>
  <si>
    <t>Tech Assist</t>
  </si>
  <si>
    <t>Equipment</t>
  </si>
  <si>
    <t>Producers Reached</t>
  </si>
  <si>
    <t>Cost per producer</t>
  </si>
  <si>
    <t>TOTAL</t>
  </si>
  <si>
    <t>DETAILED LINE ITEMS</t>
  </si>
  <si>
    <t xml:space="preserve">Category    </t>
  </si>
  <si>
    <t xml:space="preserve">Item Description </t>
  </si>
  <si>
    <t xml:space="preserve">Unit Cost </t>
  </si>
  <si>
    <t>Quantity</t>
  </si>
  <si>
    <t xml:space="preserve">Total </t>
  </si>
  <si>
    <t xml:space="preserve">Country </t>
  </si>
  <si>
    <t xml:space="preserve">Quarter </t>
  </si>
  <si>
    <t xml:space="preserve">Budget Line </t>
  </si>
  <si>
    <t xml:space="preserve">Training            </t>
  </si>
  <si>
    <t>Workshop facilitation (per day)</t>
  </si>
  <si>
    <t>ALL</t>
  </si>
  <si>
    <t>Q1-Q4</t>
  </si>
  <si>
    <t xml:space="preserve">Training </t>
  </si>
  <si>
    <t xml:space="preserve">Training           </t>
  </si>
  <si>
    <t xml:space="preserve"> Training materials &amp; handouts  </t>
  </si>
  <si>
    <t>Q1-Q2</t>
  </si>
  <si>
    <t xml:space="preserve">Training          </t>
  </si>
  <si>
    <t xml:space="preserve"> Venue rental (per workshop)      </t>
  </si>
  <si>
    <t>Q2-Q3</t>
  </si>
  <si>
    <t xml:space="preserve">Training             </t>
  </si>
  <si>
    <t xml:space="preserve">Travel &amp; accommodation trainers  </t>
  </si>
  <si>
    <t>Q2-Q4</t>
  </si>
  <si>
    <t xml:space="preserve">Technical Assistance </t>
  </si>
  <si>
    <t xml:space="preserve">Field visits (per producer)  </t>
  </si>
  <si>
    <t xml:space="preserve">Technical Assistance  </t>
  </si>
  <si>
    <t xml:space="preserve"> Agronomist fees (monthly)</t>
  </si>
  <si>
    <t xml:space="preserve"> Quality testing &amp; analysis</t>
  </si>
  <si>
    <t>Q3-Q4</t>
  </si>
  <si>
    <t xml:space="preserve"> Follow-up support calls   </t>
  </si>
  <si>
    <t xml:space="preserve">Equipment           </t>
  </si>
  <si>
    <t xml:space="preserve">Moisture meters      </t>
  </si>
  <si>
    <t xml:space="preserve">Equipment </t>
  </si>
  <si>
    <t xml:space="preserve">Equipment          </t>
  </si>
  <si>
    <t xml:space="preserve"> Sample roasters         </t>
  </si>
  <si>
    <t xml:space="preserve">Cupping tables &amp; equipment  </t>
  </si>
  <si>
    <t xml:space="preserve">Storage facilities improvement   </t>
  </si>
  <si>
    <t>KEY PERFORMANCE INDICATORS - MONTHLY TRACKING</t>
  </si>
  <si>
    <t xml:space="preserve">Indicator                                 </t>
  </si>
  <si>
    <t xml:space="preserve">Target </t>
  </si>
  <si>
    <t xml:space="preserve">Jan </t>
  </si>
  <si>
    <t>Apr</t>
  </si>
  <si>
    <t xml:space="preserve">Sep </t>
  </si>
  <si>
    <t xml:space="preserve">Oct </t>
  </si>
  <si>
    <t xml:space="preserve">Actual </t>
  </si>
  <si>
    <t>% Achievement</t>
  </si>
  <si>
    <t xml:space="preserve">Number of producers trained          </t>
  </si>
  <si>
    <t xml:space="preserve">Number of workshops delivered           </t>
  </si>
  <si>
    <t xml:space="preserve">% producers adopting improved practices     </t>
  </si>
  <si>
    <t xml:space="preserve">Number of technical assistance visits     </t>
  </si>
  <si>
    <t xml:space="preserve">Quality labs installed                   </t>
  </si>
  <si>
    <t xml:space="preserve">Average quality score improvement (cupping)  </t>
  </si>
  <si>
    <t xml:space="preserve">% budget spent vs planned                 </t>
  </si>
  <si>
    <t>COUNTRY-LEVEL KPIs</t>
  </si>
  <si>
    <t xml:space="preserve">Producers Trained </t>
  </si>
  <si>
    <t>WorkShops</t>
  </si>
  <si>
    <t>Adoption Rate</t>
  </si>
  <si>
    <t xml:space="preserve">Quality Improvement </t>
  </si>
  <si>
    <t xml:space="preserve">Satisfaction Score </t>
  </si>
  <si>
    <t>Budget Utilization</t>
  </si>
  <si>
    <t xml:space="preserve">Brazil     </t>
  </si>
  <si>
    <t xml:space="preserve"> 6.2 pts    </t>
  </si>
  <si>
    <t xml:space="preserve">4.5/5.0 </t>
  </si>
  <si>
    <t xml:space="preserve">Colombia </t>
  </si>
  <si>
    <t xml:space="preserve"> 5.8 pts    </t>
  </si>
  <si>
    <t xml:space="preserve">4.6/5.0 </t>
  </si>
  <si>
    <t xml:space="preserve">Peru     </t>
  </si>
  <si>
    <t xml:space="preserve"> 5.2 pts    </t>
  </si>
  <si>
    <t xml:space="preserve">4.3/5.0 </t>
  </si>
  <si>
    <t xml:space="preserve">Honduras  </t>
  </si>
  <si>
    <t xml:space="preserve">5.0 pts    </t>
  </si>
  <si>
    <t xml:space="preserve">4.4/5.0 </t>
  </si>
  <si>
    <t xml:space="preserve">AVERAGE  </t>
  </si>
  <si>
    <t xml:space="preserve">Risk ID </t>
  </si>
  <si>
    <t xml:space="preserve">Risk Description </t>
  </si>
  <si>
    <t>Probability</t>
  </si>
  <si>
    <t xml:space="preserve">Impact </t>
  </si>
  <si>
    <t xml:space="preserve">Risk Score </t>
  </si>
  <si>
    <t xml:space="preserve">Mitigation Strategy </t>
  </si>
  <si>
    <t>RO1</t>
  </si>
  <si>
    <t xml:space="preserve"> Weather delays field activities </t>
  </si>
  <si>
    <t xml:space="preserve"> High</t>
  </si>
  <si>
    <t>Medium</t>
  </si>
  <si>
    <t xml:space="preserve">Build 2-week buffer in schedule </t>
  </si>
  <si>
    <t>Active</t>
  </si>
  <si>
    <t>RO2</t>
  </si>
  <si>
    <t xml:space="preserve">Equipment delivery delays               </t>
  </si>
  <si>
    <t>High</t>
  </si>
  <si>
    <t xml:space="preserve">Order 3 months in advance  </t>
  </si>
  <si>
    <t>Mitigate</t>
  </si>
  <si>
    <t>RO3</t>
  </si>
  <si>
    <t xml:space="preserve">Low producer participation             </t>
  </si>
  <si>
    <t>Low</t>
  </si>
  <si>
    <t xml:space="preserve">Community leaders engagement  </t>
  </si>
  <si>
    <t xml:space="preserve">Monitores </t>
  </si>
  <si>
    <t>RO4</t>
  </si>
  <si>
    <t xml:space="preserve">Currency fluctuation affects budget      </t>
  </si>
  <si>
    <t xml:space="preserve">10% contingency fund        </t>
  </si>
  <si>
    <t xml:space="preserve">Active </t>
  </si>
  <si>
    <t>RO5</t>
  </si>
  <si>
    <t xml:space="preserve">Staff turnover mid-project         </t>
  </si>
  <si>
    <t xml:space="preserve">Knowledge documentation &amp; backup plans </t>
  </si>
  <si>
    <t>Monitored</t>
  </si>
  <si>
    <t>RO1 Risk Score</t>
  </si>
  <si>
    <t xml:space="preserve">Nivel </t>
  </si>
  <si>
    <t xml:space="preserve">Valor </t>
  </si>
  <si>
    <t>RO2 Risk Score</t>
  </si>
  <si>
    <t xml:space="preserve">High </t>
  </si>
  <si>
    <t>RO3 Risk Score</t>
  </si>
  <si>
    <t>RO4 Risk Score</t>
  </si>
  <si>
    <t xml:space="preserve">Low </t>
  </si>
  <si>
    <t>RO5 Risk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</si>
</sst>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eorgia"/>
    </font>
    <font>
      <color theme="1"/>
      <name val="Trebuchet MS"/>
    </font>
    <font>
      <sz val="11.0"/>
      <color rgb="FF000000"/>
      <name val="Trebuchet MS"/>
    </font>
    <font>
      <sz val="11.0"/>
      <color rgb="FF000000"/>
      <name val="Georgia"/>
    </font>
    <font>
      <b/>
      <color theme="1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FEF8E3"/>
        <bgColor rgb="FFFEF8E3"/>
      </patternFill>
    </fill>
    <fill>
      <patternFill patternType="solid">
        <fgColor rgb="FFF7CB4D"/>
        <bgColor rgb="FFF7CB4D"/>
      </patternFill>
    </fill>
    <fill>
      <patternFill patternType="solid">
        <fgColor rgb="FF4EA72E"/>
        <bgColor rgb="FF4EA72E"/>
      </patternFill>
    </fill>
  </fills>
  <borders count="5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Font="1"/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2" fontId="2" numFmtId="0" xfId="0" applyAlignment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0" fillId="0" fontId="1" numFmtId="0" xfId="0" applyFont="1"/>
    <xf borderId="0" fillId="3" fontId="1" numFmtId="0" xfId="0" applyFont="1"/>
    <xf borderId="0" fillId="0" fontId="1" numFmtId="164" xfId="0" applyFont="1" applyNumberFormat="1"/>
    <xf borderId="1" fillId="4" fontId="4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3" fontId="2" numFmtId="0" xfId="0" applyFont="1"/>
    <xf borderId="0" fillId="2" fontId="2" numFmtId="0" xfId="0" applyFont="1"/>
    <xf borderId="0" fillId="2" fontId="2" numFmtId="3" xfId="0" applyFont="1" applyNumberFormat="1"/>
    <xf borderId="0" fillId="2" fontId="2" numFmtId="9" xfId="0" applyFont="1" applyNumberFormat="1"/>
    <xf borderId="0" fillId="0" fontId="2" numFmtId="0" xfId="0" applyFont="1"/>
    <xf borderId="0" fillId="0" fontId="2" numFmtId="0" xfId="0" applyFont="1"/>
    <xf borderId="0" fillId="2" fontId="2" numFmtId="0" xfId="0" applyFont="1"/>
    <xf borderId="0" fillId="0" fontId="6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Font="1"/>
    <xf borderId="0" fillId="0" fontId="2" numFmtId="9" xfId="0" applyFont="1" applyNumberForma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2" fillId="3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4" pivot="0" name="program_impact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verview-style">
      <tableStyleElement dxfId="5" type="headerRow"/>
      <tableStyleElement dxfId="2" type="firstRowStripe"/>
      <tableStyleElement dxfId="6" type="secondRowStripe"/>
      <tableStyleElement dxfId="7" type="totalRow"/>
    </tableStyle>
    <tableStyle count="3" pivot="0" name="Overview-style 2">
      <tableStyleElement dxfId="8" type="headerRow"/>
      <tableStyleElement dxfId="2" type="firstRowStripe"/>
      <tableStyleElement dxfId="9" type="secondRowStripe"/>
    </tableStyle>
    <tableStyle count="3" pivot="0" name="Gantt-style">
      <tableStyleElement dxfId="5" type="headerRow"/>
      <tableStyleElement dxfId="2" type="firstRowStripe"/>
      <tableStyleElement dxfId="6" type="secondRowStripe"/>
    </tableStyle>
    <tableStyle count="3" pivot="0" name="Budget-style">
      <tableStyleElement dxfId="5" type="headerRow"/>
      <tableStyleElement dxfId="2" type="firstRowStripe"/>
      <tableStyleElement dxfId="6" type="secondRowStripe"/>
    </tableStyle>
    <tableStyle count="3" pivot="0" name="KPI Tracker-style">
      <tableStyleElement dxfId="5" type="headerRow"/>
      <tableStyleElement dxfId="2" type="firstRowStripe"/>
      <tableStyleElement dxfId="6" type="secondRowStripe"/>
    </tableStyle>
    <tableStyle count="3" pivot="0" name="Risk Register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" displayName="Table1" name="Table1" id="1">
  <tableColumns count="10">
    <tableColumn name="country" id="1"/>
    <tableColumn name="quarter" id="2"/>
    <tableColumn name="year" id="3"/>
    <tableColumn name="producers_trained" id="4"/>
    <tableColumn name="workshops_delivered" id="5"/>
    <tableColumn name="adoption_rate_pct" id="6"/>
    <tableColumn name="quality_improvement_pts" id="7"/>
    <tableColumn name="technical_visits" id="8"/>
    <tableColumn name="investment_usd" id="9"/>
    <tableColumn name="satisfaction_score" id="10"/>
  </tableColumns>
  <tableStyleInfo name="program_impact_data-style" showColumnStripes="0" showFirstColumn="1" showLastColumn="1" showRowStripes="1"/>
</table>
</file>

<file path=xl/tables/table2.xml><?xml version="1.0" encoding="utf-8"?>
<table xmlns="http://schemas.openxmlformats.org/spreadsheetml/2006/main" totalsRowCount="1" ref="A1:A11" displayName="Table_1" name="Table_1" id="2">
  <tableColumns count="1">
    <tableColumn name="Program Name: Coffee Quality Enhancement Program" id="1"/>
  </tableColumns>
  <tableStyleInfo name="Overview-style" showColumnStripes="0" showFirstColumn="1" showLastColumn="1" showRowStripes="1"/>
</table>
</file>

<file path=xl/tables/table3.xml><?xml version="1.0" encoding="utf-8"?>
<table xmlns="http://schemas.openxmlformats.org/spreadsheetml/2006/main" headerRowCount="0" ref="A13:B14" displayName="Table_2" name="Table_2" id="3">
  <tableColumns count="2">
    <tableColumn name="Column1" id="1"/>
    <tableColumn name="Column2" id="2"/>
  </tableColumns>
  <tableStyleInfo name="Overview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E14" displayName="Table_3" name="Table_3" id="4">
  <tableColumns count="5">
    <tableColumn name="Task ID" id="1"/>
    <tableColumn name="Task Name" id="2"/>
    <tableColumn name="Start Date" id="3"/>
    <tableColumn name="End Date" id="4"/>
    <tableColumn name="Duration" id="5"/>
  </tableColumns>
  <tableStyleInfo name="Gantt-style" showColumnStripes="0" showFirstColumn="1" showLastColumn="1" showRowStripes="1"/>
</table>
</file>

<file path=xl/tables/table5.xml><?xml version="1.0" encoding="utf-8"?>
<table xmlns="http://schemas.openxmlformats.org/spreadsheetml/2006/main" headerRowCount="0" ref="A2:J2" displayName="Table_4" name="Table_4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4:Q11" displayName="Table_5" name="Table_5" id="6">
  <tableColumns count="17">
    <tableColumn name="Indicator                                 " id="1"/>
    <tableColumn name="Target " id="2"/>
    <tableColumn name="Jan " id="3"/>
    <tableColumn name="Feb" id="4"/>
    <tableColumn name="Mar" id="5"/>
    <tableColumn name="Apr" id="6"/>
    <tableColumn name="May" id="7"/>
    <tableColumn name="Jun" id="8"/>
    <tableColumn name="Jul" id="9"/>
    <tableColumn name="Aug" id="10"/>
    <tableColumn name="Sep " id="11"/>
    <tableColumn name="Oct " id="12"/>
    <tableColumn name="Nov" id="13"/>
    <tableColumn name="Dec" id="14"/>
    <tableColumn name="Actual " id="15"/>
    <tableColumn name="% Achievement" id="16"/>
    <tableColumn name="Status" id="17"/>
  </tableColumns>
  <tableStyleInfo name="KPI Tracker-style" showColumnStripes="0" showFirstColumn="1" showLastColumn="1" showRowStripes="1"/>
</table>
</file>

<file path=xl/tables/table7.xml><?xml version="1.0" encoding="utf-8"?>
<table xmlns="http://schemas.openxmlformats.org/spreadsheetml/2006/main" ref="A1:G12" displayName="Table_6" name="Table_6" id="7">
  <tableColumns count="7">
    <tableColumn name="Risk ID " id="1"/>
    <tableColumn name="Risk Description " id="2"/>
    <tableColumn name="Probability" id="3"/>
    <tableColumn name="Impact " id="4"/>
    <tableColumn name="Risk Score " id="5"/>
    <tableColumn name="Mitigation Strategy " id="6"/>
    <tableColumn name="Status" id="7"/>
  </tableColumns>
  <tableStyleInfo name="Risk 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13"/>
    <col customWidth="1" min="4" max="4" width="22.13"/>
    <col customWidth="1" min="5" max="5" width="24.38"/>
    <col customWidth="1" min="6" max="6" width="22.0"/>
    <col customWidth="1" min="7" max="7" width="27.25"/>
    <col customWidth="1" min="8" max="8" width="20.13"/>
    <col customWidth="1" min="9" max="9" width="20.5"/>
    <col customWidth="1" min="10" max="10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>
        <v>2024.0</v>
      </c>
      <c r="D2" s="3">
        <v>200.0</v>
      </c>
      <c r="E2" s="3">
        <v>5.0</v>
      </c>
      <c r="F2" s="3">
        <v>15.0</v>
      </c>
      <c r="G2" s="3">
        <v>1.2</v>
      </c>
      <c r="H2" s="3">
        <v>150.0</v>
      </c>
      <c r="I2" s="3">
        <v>58500.0</v>
      </c>
      <c r="J2" s="3">
        <v>4.3</v>
      </c>
    </row>
    <row r="3" ht="22.5" customHeight="1">
      <c r="A3" s="2" t="s">
        <v>10</v>
      </c>
      <c r="B3" s="2" t="s">
        <v>12</v>
      </c>
      <c r="C3" s="3">
        <v>2024.0</v>
      </c>
      <c r="D3" s="3">
        <v>400.0</v>
      </c>
      <c r="E3" s="3">
        <v>10.0</v>
      </c>
      <c r="F3" s="3">
        <v>35.0</v>
      </c>
      <c r="G3" s="3">
        <v>2.8</v>
      </c>
      <c r="H3" s="3">
        <v>350.0</v>
      </c>
      <c r="I3" s="3">
        <v>78000.0</v>
      </c>
      <c r="J3" s="3">
        <v>4.5</v>
      </c>
    </row>
    <row r="4" ht="22.5" customHeight="1">
      <c r="A4" s="2" t="s">
        <v>10</v>
      </c>
      <c r="B4" s="2" t="s">
        <v>13</v>
      </c>
      <c r="C4" s="3">
        <v>2024.0</v>
      </c>
      <c r="D4" s="3">
        <v>600.0</v>
      </c>
      <c r="E4" s="3">
        <v>15.0</v>
      </c>
      <c r="F4" s="3">
        <v>55.0</v>
      </c>
      <c r="G4" s="3">
        <v>4.5</v>
      </c>
      <c r="H4" s="3">
        <v>550.0</v>
      </c>
      <c r="I4" s="3">
        <v>98000.0</v>
      </c>
      <c r="J4" s="3">
        <v>4.6</v>
      </c>
    </row>
    <row r="5" ht="22.5" customHeight="1">
      <c r="A5" s="2" t="s">
        <v>10</v>
      </c>
      <c r="B5" s="2" t="s">
        <v>14</v>
      </c>
      <c r="C5" s="3">
        <v>2024.0</v>
      </c>
      <c r="D5" s="3">
        <v>800.0</v>
      </c>
      <c r="E5" s="3">
        <v>20.0</v>
      </c>
      <c r="F5" s="3">
        <v>75.0</v>
      </c>
      <c r="G5" s="3">
        <v>6.2</v>
      </c>
      <c r="H5" s="3">
        <v>750.0</v>
      </c>
      <c r="I5" s="3">
        <v>106000.0</v>
      </c>
      <c r="J5" s="3">
        <v>4.7</v>
      </c>
    </row>
    <row r="6" ht="22.5" customHeight="1">
      <c r="A6" s="2" t="s">
        <v>15</v>
      </c>
      <c r="B6" s="2" t="s">
        <v>11</v>
      </c>
      <c r="C6" s="3">
        <v>2024.0</v>
      </c>
      <c r="D6" s="3">
        <v>120.0</v>
      </c>
      <c r="E6" s="3">
        <v>3.0</v>
      </c>
      <c r="F6" s="3">
        <v>12.0</v>
      </c>
      <c r="G6" s="3">
        <v>1.0</v>
      </c>
      <c r="H6" s="3">
        <v>100.0</v>
      </c>
      <c r="I6" s="3">
        <v>42000.0</v>
      </c>
      <c r="J6" s="3">
        <v>4.2</v>
      </c>
    </row>
    <row r="7" ht="22.5" customHeight="1">
      <c r="A7" s="2" t="s">
        <v>15</v>
      </c>
      <c r="B7" s="2" t="s">
        <v>12</v>
      </c>
      <c r="C7" s="3">
        <v>2024.0</v>
      </c>
      <c r="D7" s="3">
        <v>250.0</v>
      </c>
      <c r="E7" s="3">
        <v>6.0</v>
      </c>
      <c r="F7" s="3">
        <v>30.0</v>
      </c>
      <c r="G7" s="3">
        <v>2.5</v>
      </c>
      <c r="H7" s="3">
        <v>220.0</v>
      </c>
      <c r="I7" s="3">
        <v>52000.0</v>
      </c>
      <c r="J7" s="3">
        <v>4.4</v>
      </c>
    </row>
    <row r="8" ht="22.5" customHeight="1">
      <c r="A8" s="2" t="s">
        <v>15</v>
      </c>
      <c r="B8" s="2" t="s">
        <v>13</v>
      </c>
      <c r="C8" s="3">
        <v>2024.0</v>
      </c>
      <c r="D8" s="3">
        <v>380.0</v>
      </c>
      <c r="E8" s="3">
        <v>9.0</v>
      </c>
      <c r="F8" s="3">
        <v>50.0</v>
      </c>
      <c r="G8" s="3">
        <v>4.0</v>
      </c>
      <c r="H8" s="3">
        <v>380.0</v>
      </c>
      <c r="I8" s="3">
        <v>63000.0</v>
      </c>
      <c r="J8" s="3">
        <v>4.6</v>
      </c>
    </row>
    <row r="9" ht="22.5" customHeight="1">
      <c r="A9" s="2" t="s">
        <v>15</v>
      </c>
      <c r="B9" s="2" t="s">
        <v>14</v>
      </c>
      <c r="C9" s="3">
        <v>2024.0</v>
      </c>
      <c r="D9" s="3">
        <v>500.0</v>
      </c>
      <c r="E9" s="3">
        <v>12.0</v>
      </c>
      <c r="F9" s="3">
        <v>72.0</v>
      </c>
      <c r="G9" s="3">
        <v>5.8</v>
      </c>
      <c r="H9" s="3">
        <v>480.0</v>
      </c>
      <c r="I9" s="3">
        <v>68000.0</v>
      </c>
      <c r="J9" s="3">
        <v>4.7</v>
      </c>
    </row>
    <row r="10" ht="22.5" customHeight="1">
      <c r="A10" s="2" t="s">
        <v>16</v>
      </c>
      <c r="B10" s="2" t="s">
        <v>11</v>
      </c>
      <c r="C10" s="3">
        <v>2024.0</v>
      </c>
      <c r="D10" s="3">
        <v>80.0</v>
      </c>
      <c r="E10" s="3">
        <v>2.0</v>
      </c>
      <c r="F10" s="3">
        <v>10.0</v>
      </c>
      <c r="G10" s="3">
        <v>0.8</v>
      </c>
      <c r="H10" s="3">
        <v>70.0</v>
      </c>
      <c r="I10" s="3">
        <v>35000.0</v>
      </c>
      <c r="J10" s="3">
        <v>4.0</v>
      </c>
    </row>
    <row r="11" ht="22.5" customHeight="1">
      <c r="A11" s="2" t="s">
        <v>16</v>
      </c>
      <c r="B11" s="2" t="s">
        <v>12</v>
      </c>
      <c r="C11" s="3">
        <v>2024.0</v>
      </c>
      <c r="D11" s="3">
        <v>180.0</v>
      </c>
      <c r="E11" s="3">
        <v>5.0</v>
      </c>
      <c r="F11" s="3">
        <v>28.0</v>
      </c>
      <c r="G11" s="3">
        <v>2.0</v>
      </c>
      <c r="H11" s="3">
        <v>160.0</v>
      </c>
      <c r="I11" s="3">
        <v>45000.0</v>
      </c>
      <c r="J11" s="3">
        <v>4.2</v>
      </c>
    </row>
    <row r="12" ht="22.5" customHeight="1">
      <c r="A12" s="2" t="s">
        <v>16</v>
      </c>
      <c r="B12" s="2" t="s">
        <v>13</v>
      </c>
      <c r="C12" s="3">
        <v>2024.0</v>
      </c>
      <c r="D12" s="3">
        <v>300.0</v>
      </c>
      <c r="E12" s="3">
        <v>8.0</v>
      </c>
      <c r="F12" s="3">
        <v>48.0</v>
      </c>
      <c r="G12" s="3">
        <v>3.8</v>
      </c>
      <c r="H12" s="3">
        <v>280.0</v>
      </c>
      <c r="I12" s="3">
        <v>58000.0</v>
      </c>
      <c r="J12" s="3">
        <v>4.4</v>
      </c>
    </row>
    <row r="13" ht="22.5" customHeight="1">
      <c r="A13" s="2" t="s">
        <v>16</v>
      </c>
      <c r="B13" s="2" t="s">
        <v>14</v>
      </c>
      <c r="C13" s="3">
        <v>2024.0</v>
      </c>
      <c r="D13" s="3">
        <v>400.0</v>
      </c>
      <c r="E13" s="3">
        <v>10.0</v>
      </c>
      <c r="F13" s="3">
        <v>68.0</v>
      </c>
      <c r="G13" s="3">
        <v>5.2</v>
      </c>
      <c r="H13" s="3">
        <v>380.0</v>
      </c>
      <c r="I13" s="3">
        <v>62000.0</v>
      </c>
      <c r="J13" s="3">
        <v>4.5</v>
      </c>
    </row>
    <row r="14" ht="22.5" customHeight="1">
      <c r="A14" s="2" t="s">
        <v>17</v>
      </c>
      <c r="B14" s="2" t="s">
        <v>11</v>
      </c>
      <c r="C14" s="3">
        <v>2024.0</v>
      </c>
      <c r="D14" s="3">
        <v>60.0</v>
      </c>
      <c r="E14" s="3">
        <v>2.0</v>
      </c>
      <c r="F14" s="3">
        <v>8.0</v>
      </c>
      <c r="G14" s="3">
        <v>0.6</v>
      </c>
      <c r="H14" s="3">
        <v>50.0</v>
      </c>
      <c r="I14" s="3">
        <v>28000.0</v>
      </c>
      <c r="J14" s="3">
        <v>3.9</v>
      </c>
    </row>
    <row r="15" ht="22.5" customHeight="1">
      <c r="A15" s="2" t="s">
        <v>17</v>
      </c>
      <c r="B15" s="2" t="s">
        <v>12</v>
      </c>
      <c r="C15" s="3">
        <v>2024.0</v>
      </c>
      <c r="D15" s="3">
        <v>140.0</v>
      </c>
      <c r="E15" s="3">
        <v>4.0</v>
      </c>
      <c r="F15" s="3">
        <v>22.0</v>
      </c>
      <c r="G15" s="3">
        <v>1.8</v>
      </c>
      <c r="H15" s="3">
        <v>130.0</v>
      </c>
      <c r="I15" s="3">
        <v>38000.0</v>
      </c>
      <c r="J15" s="3">
        <v>4.1</v>
      </c>
    </row>
    <row r="16" ht="22.5" customHeight="1">
      <c r="A16" s="2" t="s">
        <v>17</v>
      </c>
      <c r="B16" s="2" t="s">
        <v>13</v>
      </c>
      <c r="C16" s="3">
        <v>2024.0</v>
      </c>
      <c r="D16" s="3">
        <v>240.0</v>
      </c>
      <c r="E16" s="3">
        <v>6.0</v>
      </c>
      <c r="F16" s="3">
        <v>42.0</v>
      </c>
      <c r="G16" s="3">
        <v>3.5</v>
      </c>
      <c r="H16" s="3">
        <v>220.0</v>
      </c>
      <c r="I16" s="3">
        <v>48000.0</v>
      </c>
      <c r="J16" s="3">
        <v>4.3</v>
      </c>
    </row>
    <row r="17" ht="22.5" customHeight="1">
      <c r="A17" s="2" t="s">
        <v>17</v>
      </c>
      <c r="B17" s="2" t="s">
        <v>14</v>
      </c>
      <c r="C17" s="3">
        <v>2024.0</v>
      </c>
      <c r="D17" s="3">
        <v>300.0</v>
      </c>
      <c r="E17" s="3">
        <v>8.0</v>
      </c>
      <c r="F17" s="3">
        <v>65.0</v>
      </c>
      <c r="G17" s="3">
        <v>5.0</v>
      </c>
      <c r="H17" s="3">
        <v>280.0</v>
      </c>
      <c r="I17" s="3">
        <v>52000.0</v>
      </c>
      <c r="J17" s="3">
        <v>4.5</v>
      </c>
    </row>
  </sheetData>
  <conditionalFormatting sqref="A1:J19">
    <cfRule type="colorScale" priority="1">
      <colorScale>
        <cfvo type="min"/>
        <cfvo type="max"/>
        <color rgb="FFFFFFFF"/>
        <color rgb="FFFFD666"/>
      </colorScale>
    </cfRule>
  </conditionalFormatting>
  <dataValidations>
    <dataValidation type="list" allowBlank="1" showDropDown="1" showErrorMessage="1" sqref="B2:B17">
      <formula1>"Q1,Q2,Q3,Q4"</formula1>
    </dataValidation>
    <dataValidation type="list" allowBlank="1" showDropDown="1" showErrorMessage="1" sqref="A2:A17">
      <formula1>"Brazil,Colombia,Peru,Honduras"</formula1>
    </dataValidation>
    <dataValidation type="custom" allowBlank="1" showDropDown="1" sqref="C2:J1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1.25"/>
    <col customWidth="1" min="2" max="2" width="113.25"/>
  </cols>
  <sheetData>
    <row r="1">
      <c r="A1" s="4" t="s">
        <v>18</v>
      </c>
      <c r="B1" s="5"/>
      <c r="C1" s="6"/>
      <c r="D1" s="6"/>
    </row>
    <row r="2">
      <c r="A2" s="4" t="s">
        <v>19</v>
      </c>
      <c r="B2" s="5"/>
      <c r="C2" s="6"/>
      <c r="D2" s="6"/>
    </row>
    <row r="3">
      <c r="A3" s="4" t="s">
        <v>20</v>
      </c>
      <c r="B3" s="5"/>
      <c r="C3" s="6"/>
      <c r="D3" s="6"/>
    </row>
    <row r="4">
      <c r="A4" s="4" t="s">
        <v>21</v>
      </c>
      <c r="B4" s="5"/>
      <c r="C4" s="6"/>
      <c r="D4" s="6"/>
    </row>
    <row r="5">
      <c r="A5" s="4" t="s">
        <v>22</v>
      </c>
      <c r="B5" s="5"/>
      <c r="C5" s="6"/>
      <c r="D5" s="6"/>
    </row>
    <row r="6">
      <c r="A6" s="7"/>
      <c r="B6" s="8"/>
      <c r="C6" s="6"/>
      <c r="D6" s="6"/>
    </row>
    <row r="7">
      <c r="A7" s="4" t="s">
        <v>23</v>
      </c>
      <c r="B7" s="5"/>
      <c r="C7" s="6"/>
      <c r="D7" s="6"/>
    </row>
    <row r="8">
      <c r="A8" s="4" t="s">
        <v>24</v>
      </c>
      <c r="B8" s="5"/>
      <c r="C8" s="6"/>
      <c r="D8" s="6"/>
    </row>
    <row r="9">
      <c r="A9" s="4" t="s">
        <v>25</v>
      </c>
      <c r="B9" s="5"/>
      <c r="C9" s="6"/>
      <c r="D9" s="6"/>
    </row>
    <row r="10">
      <c r="A10" s="4" t="s">
        <v>26</v>
      </c>
      <c r="B10" s="5"/>
      <c r="C10" s="6"/>
      <c r="D10" s="6"/>
    </row>
    <row r="11">
      <c r="A11" s="7"/>
      <c r="B11" s="8"/>
    </row>
    <row r="12" ht="168.75" customHeight="1">
      <c r="A12" s="9" t="s">
        <v>27</v>
      </c>
      <c r="B12" s="9" t="s">
        <v>28</v>
      </c>
    </row>
    <row r="13">
      <c r="A13" s="7"/>
      <c r="B13" s="7"/>
    </row>
    <row r="14" ht="348.75" customHeight="1">
      <c r="A14" s="10" t="s">
        <v>29</v>
      </c>
      <c r="B14" s="10" t="s">
        <v>30</v>
      </c>
    </row>
  </sheetData>
  <conditionalFormatting sqref="B1:B5 B7:B10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18" max="18" width="16.75"/>
  </cols>
  <sheetData>
    <row r="1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2" t="s">
        <v>36</v>
      </c>
      <c r="G1" s="12" t="s">
        <v>37</v>
      </c>
      <c r="H1" s="12" t="s">
        <v>38</v>
      </c>
      <c r="I1" s="12" t="s">
        <v>39</v>
      </c>
      <c r="J1" s="12" t="s">
        <v>40</v>
      </c>
      <c r="K1" s="12" t="s">
        <v>41</v>
      </c>
      <c r="L1" s="12" t="s">
        <v>42</v>
      </c>
      <c r="M1" s="12" t="s">
        <v>43</v>
      </c>
      <c r="N1" s="12" t="s">
        <v>44</v>
      </c>
      <c r="O1" s="12" t="s">
        <v>45</v>
      </c>
      <c r="P1" s="12" t="s">
        <v>46</v>
      </c>
      <c r="Q1" s="12" t="s">
        <v>47</v>
      </c>
      <c r="R1" s="12" t="s">
        <v>48</v>
      </c>
    </row>
    <row r="2">
      <c r="A2" s="11">
        <v>1.0</v>
      </c>
      <c r="B2" s="11" t="s">
        <v>49</v>
      </c>
      <c r="C2" s="13">
        <v>45663.0</v>
      </c>
      <c r="D2" s="13">
        <v>45667.0</v>
      </c>
      <c r="E2" s="11">
        <v>-4.0</v>
      </c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 t="s">
        <v>50</v>
      </c>
    </row>
    <row r="3">
      <c r="A3" s="11">
        <v>2.0</v>
      </c>
      <c r="B3" s="11" t="s">
        <v>51</v>
      </c>
      <c r="C3" s="13">
        <v>45670.0</v>
      </c>
      <c r="D3" s="13">
        <v>45671.0</v>
      </c>
      <c r="E3" s="11">
        <v>-1.0</v>
      </c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 t="s">
        <v>50</v>
      </c>
    </row>
    <row r="4">
      <c r="A4" s="11">
        <v>3.0</v>
      </c>
      <c r="B4" s="11" t="s">
        <v>52</v>
      </c>
      <c r="C4" s="13">
        <v>45672.0</v>
      </c>
      <c r="D4" s="13">
        <v>45681.0</v>
      </c>
      <c r="E4" s="11">
        <v>0.0</v>
      </c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 t="s">
        <v>53</v>
      </c>
    </row>
    <row r="5">
      <c r="A5" s="11">
        <v>4.0</v>
      </c>
      <c r="B5" s="11" t="s">
        <v>54</v>
      </c>
      <c r="C5" s="13">
        <v>45684.0</v>
      </c>
      <c r="D5" s="13">
        <v>45689.0</v>
      </c>
      <c r="E5" s="11">
        <v>5.0</v>
      </c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 t="s">
        <v>55</v>
      </c>
    </row>
    <row r="6">
      <c r="A6" s="11">
        <v>5.0</v>
      </c>
      <c r="B6" s="11" t="s">
        <v>56</v>
      </c>
      <c r="C6" s="13">
        <v>45691.0</v>
      </c>
      <c r="D6" s="13">
        <v>45716.0</v>
      </c>
      <c r="E6" s="11">
        <v>-25.0</v>
      </c>
      <c r="F6" s="17"/>
      <c r="G6" s="18"/>
      <c r="H6" s="15"/>
      <c r="I6" s="15"/>
      <c r="J6" s="15"/>
      <c r="K6" s="15"/>
      <c r="L6" s="15"/>
      <c r="M6" s="15"/>
      <c r="N6" s="15"/>
      <c r="O6" s="15"/>
      <c r="P6" s="15"/>
      <c r="Q6" s="15"/>
      <c r="R6" s="16" t="s">
        <v>53</v>
      </c>
    </row>
    <row r="7">
      <c r="A7" s="11">
        <v>6.0</v>
      </c>
      <c r="B7" s="11" t="s">
        <v>57</v>
      </c>
      <c r="C7" s="13">
        <v>45719.0</v>
      </c>
      <c r="D7" s="13">
        <v>45744.0</v>
      </c>
      <c r="E7" s="11">
        <v>25.0</v>
      </c>
      <c r="F7" s="17"/>
      <c r="G7" s="15"/>
      <c r="H7" s="18"/>
      <c r="I7" s="15"/>
      <c r="J7" s="15"/>
      <c r="K7" s="15"/>
      <c r="L7" s="15"/>
      <c r="M7" s="15"/>
      <c r="N7" s="15"/>
      <c r="O7" s="15"/>
      <c r="P7" s="15"/>
      <c r="Q7" s="15"/>
      <c r="R7" s="16" t="s">
        <v>53</v>
      </c>
    </row>
    <row r="8">
      <c r="A8" s="11">
        <v>7.0</v>
      </c>
      <c r="B8" s="11" t="s">
        <v>58</v>
      </c>
      <c r="C8" s="13">
        <v>45754.0</v>
      </c>
      <c r="D8" s="13">
        <v>45772.0</v>
      </c>
      <c r="E8" s="11">
        <v>18.0</v>
      </c>
      <c r="F8" s="17"/>
      <c r="G8" s="15"/>
      <c r="H8" s="15"/>
      <c r="I8" s="18"/>
      <c r="J8" s="15"/>
      <c r="K8" s="15"/>
      <c r="L8" s="15"/>
      <c r="M8" s="15"/>
      <c r="N8" s="15"/>
      <c r="O8" s="15"/>
      <c r="P8" s="15"/>
      <c r="Q8" s="15"/>
      <c r="R8" s="16" t="s">
        <v>53</v>
      </c>
    </row>
    <row r="9">
      <c r="A9" s="11">
        <v>8.0</v>
      </c>
      <c r="B9" s="11" t="s">
        <v>59</v>
      </c>
      <c r="C9" s="13">
        <v>45782.0</v>
      </c>
      <c r="D9" s="13">
        <v>45744.0</v>
      </c>
      <c r="E9" s="11">
        <v>-38.0</v>
      </c>
      <c r="F9" s="17"/>
      <c r="G9" s="15"/>
      <c r="H9" s="15"/>
      <c r="I9" s="15"/>
      <c r="J9" s="18"/>
      <c r="K9" s="15"/>
      <c r="L9" s="15"/>
      <c r="M9" s="15"/>
      <c r="N9" s="15"/>
      <c r="O9" s="15"/>
      <c r="P9" s="15"/>
      <c r="Q9" s="15"/>
      <c r="R9" s="16" t="s">
        <v>53</v>
      </c>
    </row>
    <row r="10">
      <c r="A10" s="11">
        <v>9.0</v>
      </c>
      <c r="B10" s="11" t="s">
        <v>60</v>
      </c>
      <c r="C10" s="13">
        <v>45684.0</v>
      </c>
      <c r="D10" s="13">
        <v>45807.0</v>
      </c>
      <c r="E10" s="11">
        <v>123.0</v>
      </c>
      <c r="F10" s="14"/>
      <c r="G10" s="18"/>
      <c r="H10" s="18"/>
      <c r="I10" s="18"/>
      <c r="J10" s="18"/>
      <c r="K10" s="15"/>
      <c r="L10" s="15"/>
      <c r="M10" s="15"/>
      <c r="N10" s="15"/>
      <c r="O10" s="15"/>
      <c r="P10" s="15"/>
      <c r="Q10" s="15"/>
      <c r="R10" s="16" t="s">
        <v>55</v>
      </c>
    </row>
    <row r="11">
      <c r="A11" s="11">
        <v>10.0</v>
      </c>
      <c r="B11" s="11" t="s">
        <v>61</v>
      </c>
      <c r="C11" s="13">
        <v>45817.0</v>
      </c>
      <c r="D11" s="13">
        <v>45853.0</v>
      </c>
      <c r="E11" s="11">
        <v>36.0</v>
      </c>
      <c r="F11" s="17"/>
      <c r="G11" s="15"/>
      <c r="H11" s="15"/>
      <c r="I11" s="15"/>
      <c r="J11" s="15"/>
      <c r="K11" s="18"/>
      <c r="L11" s="18"/>
      <c r="M11" s="15"/>
      <c r="N11" s="15"/>
      <c r="O11" s="15"/>
      <c r="P11" s="15"/>
      <c r="Q11" s="15"/>
      <c r="R11" s="16" t="s">
        <v>55</v>
      </c>
    </row>
    <row r="12">
      <c r="A12" s="11">
        <v>11.0</v>
      </c>
      <c r="B12" s="11" t="s">
        <v>62</v>
      </c>
      <c r="C12" s="13">
        <v>45873.0</v>
      </c>
      <c r="D12" s="13">
        <v>45898.0</v>
      </c>
      <c r="E12" s="11">
        <v>25.0</v>
      </c>
      <c r="F12" s="17"/>
      <c r="G12" s="15"/>
      <c r="H12" s="15"/>
      <c r="I12" s="15"/>
      <c r="J12" s="15"/>
      <c r="K12" s="15"/>
      <c r="L12" s="15"/>
      <c r="M12" s="18"/>
      <c r="N12" s="15"/>
      <c r="O12" s="15"/>
      <c r="P12" s="15"/>
      <c r="Q12" s="15"/>
      <c r="R12" s="16" t="s">
        <v>50</v>
      </c>
    </row>
    <row r="13">
      <c r="A13" s="11">
        <v>12.0</v>
      </c>
      <c r="B13" s="11" t="s">
        <v>63</v>
      </c>
      <c r="C13" s="13">
        <v>45901.0</v>
      </c>
      <c r="D13" s="13">
        <v>45926.0</v>
      </c>
      <c r="E13" s="11">
        <v>25.0</v>
      </c>
      <c r="F13" s="17"/>
      <c r="G13" s="15"/>
      <c r="H13" s="15"/>
      <c r="I13" s="15"/>
      <c r="J13" s="15"/>
      <c r="K13" s="15"/>
      <c r="L13" s="15"/>
      <c r="M13" s="15"/>
      <c r="N13" s="18"/>
      <c r="O13" s="15"/>
      <c r="P13" s="15"/>
      <c r="Q13" s="15"/>
      <c r="R13" s="16" t="s">
        <v>64</v>
      </c>
    </row>
    <row r="14">
      <c r="A14" s="11">
        <v>13.0</v>
      </c>
      <c r="B14" s="11" t="s">
        <v>65</v>
      </c>
      <c r="C14" s="13">
        <v>45964.0</v>
      </c>
      <c r="D14" s="13">
        <v>45976.0</v>
      </c>
      <c r="E14" s="11">
        <v>12.0</v>
      </c>
      <c r="F14" s="19"/>
      <c r="G14" s="20"/>
      <c r="H14" s="20"/>
      <c r="I14" s="20"/>
      <c r="J14" s="20"/>
      <c r="K14" s="20"/>
      <c r="L14" s="20"/>
      <c r="M14" s="20"/>
      <c r="N14" s="20"/>
      <c r="O14" s="20"/>
      <c r="P14" s="21"/>
      <c r="Q14" s="20"/>
      <c r="R14" s="16" t="s">
        <v>66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8.63"/>
    <col customWidth="1" min="7" max="7" width="19.13"/>
    <col customWidth="1" min="8" max="8" width="20.13"/>
    <col customWidth="1" min="10" max="10" width="16.0"/>
  </cols>
  <sheetData>
    <row r="1">
      <c r="A1" s="22" t="s">
        <v>67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68</v>
      </c>
      <c r="B2" s="24" t="s">
        <v>69</v>
      </c>
      <c r="C2" s="24" t="s">
        <v>70</v>
      </c>
      <c r="D2" s="24" t="s">
        <v>71</v>
      </c>
      <c r="E2" s="24" t="s">
        <v>72</v>
      </c>
      <c r="F2" s="24" t="s">
        <v>73</v>
      </c>
      <c r="G2" s="24" t="s">
        <v>74</v>
      </c>
      <c r="H2" s="24" t="s">
        <v>75</v>
      </c>
      <c r="I2" s="24" t="s">
        <v>76</v>
      </c>
      <c r="J2" s="24" t="s">
        <v>77</v>
      </c>
    </row>
    <row r="3">
      <c r="A3" s="25" t="s">
        <v>78</v>
      </c>
      <c r="B3" s="26">
        <v>200000.0</v>
      </c>
      <c r="C3" s="27">
        <f t="shared" ref="C3:C5" si="1">H3/$H$6</f>
        <v>0.4</v>
      </c>
      <c r="D3" s="26">
        <v>30000.0</v>
      </c>
      <c r="E3" s="26">
        <v>60000.0</v>
      </c>
      <c r="F3" s="26">
        <v>70000.0</v>
      </c>
      <c r="G3" s="26">
        <v>40000.0</v>
      </c>
      <c r="H3" s="26">
        <f t="shared" ref="H3:H6" si="2">SUM(D3:G3)</f>
        <v>200000</v>
      </c>
      <c r="I3" s="26">
        <f t="shared" ref="I3:I6" si="3">B3 - H3</f>
        <v>0</v>
      </c>
      <c r="J3" s="25" t="s">
        <v>79</v>
      </c>
    </row>
    <row r="4">
      <c r="A4" s="25" t="s">
        <v>80</v>
      </c>
      <c r="B4" s="26">
        <v>175000.0</v>
      </c>
      <c r="C4" s="27">
        <f t="shared" si="1"/>
        <v>0.34</v>
      </c>
      <c r="D4" s="26">
        <v>20000.0</v>
      </c>
      <c r="E4" s="26">
        <v>40000.0</v>
      </c>
      <c r="F4" s="26">
        <v>60000.0</v>
      </c>
      <c r="G4" s="26">
        <v>50000.0</v>
      </c>
      <c r="H4" s="26">
        <f t="shared" si="2"/>
        <v>170000</v>
      </c>
      <c r="I4" s="26">
        <f t="shared" si="3"/>
        <v>5000</v>
      </c>
      <c r="J4" s="25" t="s">
        <v>81</v>
      </c>
    </row>
    <row r="5">
      <c r="A5" s="25" t="s">
        <v>82</v>
      </c>
      <c r="B5" s="26">
        <v>125000.0</v>
      </c>
      <c r="C5" s="27">
        <f t="shared" si="1"/>
        <v>0.26</v>
      </c>
      <c r="D5" s="26">
        <v>10000.0</v>
      </c>
      <c r="E5" s="26">
        <v>50000.0</v>
      </c>
      <c r="F5" s="26">
        <v>55000.0</v>
      </c>
      <c r="G5" s="26">
        <v>15000.0</v>
      </c>
      <c r="H5" s="26">
        <f t="shared" si="2"/>
        <v>130000</v>
      </c>
      <c r="I5" s="26">
        <f t="shared" si="3"/>
        <v>-5000</v>
      </c>
      <c r="J5" s="25" t="s">
        <v>83</v>
      </c>
    </row>
    <row r="6">
      <c r="A6" s="25" t="s">
        <v>84</v>
      </c>
      <c r="B6" s="26">
        <f t="shared" ref="B6:G6" si="4">SUM(B3:B5)</f>
        <v>500000</v>
      </c>
      <c r="C6" s="26">
        <f t="shared" si="4"/>
        <v>1</v>
      </c>
      <c r="D6" s="26">
        <f t="shared" si="4"/>
        <v>60000</v>
      </c>
      <c r="E6" s="26">
        <f t="shared" si="4"/>
        <v>150000</v>
      </c>
      <c r="F6" s="26">
        <f t="shared" si="4"/>
        <v>185000</v>
      </c>
      <c r="G6" s="26">
        <f t="shared" si="4"/>
        <v>105000</v>
      </c>
      <c r="H6" s="26">
        <f t="shared" si="2"/>
        <v>500000</v>
      </c>
      <c r="I6" s="26">
        <f t="shared" si="3"/>
        <v>0</v>
      </c>
      <c r="J6" s="25" t="s">
        <v>85</v>
      </c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</row>
    <row r="8">
      <c r="A8" s="29" t="s">
        <v>86</v>
      </c>
      <c r="B8" s="28"/>
      <c r="C8" s="28"/>
      <c r="D8" s="28"/>
      <c r="E8" s="28"/>
      <c r="F8" s="28"/>
      <c r="G8" s="28"/>
      <c r="H8" s="28"/>
      <c r="I8" s="28"/>
      <c r="J8" s="28"/>
    </row>
    <row r="9">
      <c r="A9" s="24" t="s">
        <v>87</v>
      </c>
      <c r="B9" s="24" t="s">
        <v>88</v>
      </c>
      <c r="C9" s="24" t="s">
        <v>89</v>
      </c>
      <c r="D9" s="24" t="s">
        <v>90</v>
      </c>
      <c r="E9" s="24" t="s">
        <v>84</v>
      </c>
      <c r="F9" s="24" t="s">
        <v>70</v>
      </c>
      <c r="G9" s="24" t="s">
        <v>91</v>
      </c>
      <c r="H9" s="24" t="s">
        <v>92</v>
      </c>
      <c r="I9" s="28"/>
      <c r="J9" s="28"/>
    </row>
    <row r="10">
      <c r="A10" s="25" t="s">
        <v>10</v>
      </c>
      <c r="B10" s="25">
        <v>70000.0</v>
      </c>
      <c r="C10" s="25">
        <v>60000.0</v>
      </c>
      <c r="D10" s="25">
        <v>45000.0</v>
      </c>
      <c r="E10" s="30">
        <f t="shared" ref="E10:E13" si="5">SUM(B10:D10)</f>
        <v>175000</v>
      </c>
      <c r="F10" s="30">
        <f t="shared" ref="F10:F13" si="6">E10/$E$14</f>
        <v>0.35</v>
      </c>
      <c r="G10" s="25">
        <f>E10/ 180000
</f>
        <v>0.9722222222</v>
      </c>
      <c r="H10" s="30">
        <f t="shared" ref="H10:H13" si="7">E10/G10</f>
        <v>180000</v>
      </c>
      <c r="I10" s="28"/>
      <c r="J10" s="28"/>
    </row>
    <row r="11">
      <c r="A11" s="25" t="s">
        <v>15</v>
      </c>
      <c r="B11" s="25">
        <v>50000.0</v>
      </c>
      <c r="C11" s="25">
        <v>45000.0</v>
      </c>
      <c r="D11" s="25">
        <v>30000.0</v>
      </c>
      <c r="E11" s="30">
        <f t="shared" si="5"/>
        <v>125000</v>
      </c>
      <c r="F11" s="30">
        <f t="shared" si="6"/>
        <v>0.25</v>
      </c>
      <c r="G11" s="25">
        <f>E11/ 130000
</f>
        <v>0.9615384615</v>
      </c>
      <c r="H11" s="30">
        <f t="shared" si="7"/>
        <v>130000</v>
      </c>
      <c r="I11" s="28"/>
      <c r="J11" s="28"/>
    </row>
    <row r="12">
      <c r="A12" s="25" t="s">
        <v>16</v>
      </c>
      <c r="B12" s="25">
        <v>45000.0</v>
      </c>
      <c r="C12" s="25">
        <v>40000.0</v>
      </c>
      <c r="D12" s="25">
        <v>25000.0</v>
      </c>
      <c r="E12" s="30">
        <f t="shared" si="5"/>
        <v>110000</v>
      </c>
      <c r="F12" s="30">
        <f t="shared" si="6"/>
        <v>0.22</v>
      </c>
      <c r="G12" s="25">
        <f>E12/ 105000
</f>
        <v>1.047619048</v>
      </c>
      <c r="H12" s="30">
        <f t="shared" si="7"/>
        <v>105000</v>
      </c>
      <c r="I12" s="28"/>
      <c r="J12" s="28"/>
    </row>
    <row r="13">
      <c r="A13" s="25" t="s">
        <v>17</v>
      </c>
      <c r="B13" s="25">
        <v>35000.0</v>
      </c>
      <c r="C13" s="25">
        <v>30000.0</v>
      </c>
      <c r="D13" s="25">
        <v>25000.0</v>
      </c>
      <c r="E13" s="30">
        <f t="shared" si="5"/>
        <v>90000</v>
      </c>
      <c r="F13" s="30">
        <f t="shared" si="6"/>
        <v>0.18</v>
      </c>
      <c r="G13" s="25">
        <f>E13/ 175000
</f>
        <v>0.5142857143</v>
      </c>
      <c r="H13" s="30">
        <f t="shared" si="7"/>
        <v>175000</v>
      </c>
      <c r="I13" s="28"/>
      <c r="J13" s="28"/>
    </row>
    <row r="14">
      <c r="A14" s="25" t="s">
        <v>93</v>
      </c>
      <c r="B14" s="30">
        <f t="shared" ref="B14:H14" si="8">SUM(B10:B13)</f>
        <v>200000</v>
      </c>
      <c r="C14" s="30">
        <f t="shared" si="8"/>
        <v>175000</v>
      </c>
      <c r="D14" s="30">
        <f t="shared" si="8"/>
        <v>125000</v>
      </c>
      <c r="E14" s="30">
        <f t="shared" si="8"/>
        <v>500000</v>
      </c>
      <c r="F14" s="30">
        <f t="shared" si="8"/>
        <v>1</v>
      </c>
      <c r="G14" s="30">
        <f t="shared" si="8"/>
        <v>3.495665446</v>
      </c>
      <c r="H14" s="30">
        <f t="shared" si="8"/>
        <v>590000</v>
      </c>
      <c r="I14" s="28"/>
      <c r="J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</row>
    <row r="17">
      <c r="A17" s="29" t="s">
        <v>94</v>
      </c>
      <c r="B17" s="28"/>
      <c r="C17" s="28"/>
      <c r="D17" s="28"/>
      <c r="E17" s="28"/>
      <c r="F17" s="28"/>
      <c r="G17" s="28"/>
      <c r="H17" s="28"/>
      <c r="I17" s="28"/>
      <c r="J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>
      <c r="A19" s="24" t="s">
        <v>95</v>
      </c>
      <c r="B19" s="24" t="s">
        <v>96</v>
      </c>
      <c r="C19" s="24" t="s">
        <v>97</v>
      </c>
      <c r="D19" s="24" t="s">
        <v>98</v>
      </c>
      <c r="E19" s="24" t="s">
        <v>99</v>
      </c>
      <c r="F19" s="24" t="s">
        <v>100</v>
      </c>
      <c r="G19" s="24" t="s">
        <v>101</v>
      </c>
      <c r="H19" s="24" t="s">
        <v>102</v>
      </c>
      <c r="I19" s="28"/>
      <c r="J19" s="28"/>
    </row>
    <row r="20">
      <c r="A20" s="25" t="s">
        <v>103</v>
      </c>
      <c r="B20" s="25" t="s">
        <v>104</v>
      </c>
      <c r="C20" s="25">
        <v>500.0</v>
      </c>
      <c r="D20" s="25">
        <v>120.0</v>
      </c>
      <c r="E20" s="25">
        <f t="shared" ref="E20:E31" si="9">D20*C20</f>
        <v>60000</v>
      </c>
      <c r="F20" s="25" t="s">
        <v>105</v>
      </c>
      <c r="G20" s="25" t="s">
        <v>106</v>
      </c>
      <c r="H20" s="25" t="s">
        <v>107</v>
      </c>
      <c r="I20" s="28"/>
      <c r="J20" s="28"/>
    </row>
    <row r="21">
      <c r="A21" s="25" t="s">
        <v>108</v>
      </c>
      <c r="B21" s="25" t="s">
        <v>109</v>
      </c>
      <c r="C21" s="25">
        <v>15.0</v>
      </c>
      <c r="D21" s="25">
        <v>2000.0</v>
      </c>
      <c r="E21" s="25">
        <f t="shared" si="9"/>
        <v>30000</v>
      </c>
      <c r="F21" s="25" t="s">
        <v>105</v>
      </c>
      <c r="G21" s="25" t="s">
        <v>110</v>
      </c>
      <c r="H21" s="25" t="s">
        <v>107</v>
      </c>
      <c r="I21" s="28"/>
      <c r="J21" s="28"/>
    </row>
    <row r="22">
      <c r="A22" s="25" t="s">
        <v>111</v>
      </c>
      <c r="B22" s="25" t="s">
        <v>112</v>
      </c>
      <c r="C22" s="25">
        <v>800.0</v>
      </c>
      <c r="D22" s="25">
        <v>50.0</v>
      </c>
      <c r="E22" s="25">
        <f t="shared" si="9"/>
        <v>40000</v>
      </c>
      <c r="F22" s="25" t="s">
        <v>105</v>
      </c>
      <c r="G22" s="25" t="s">
        <v>113</v>
      </c>
      <c r="H22" s="25" t="s">
        <v>107</v>
      </c>
      <c r="I22" s="28"/>
      <c r="J22" s="28"/>
    </row>
    <row r="23">
      <c r="A23" s="25" t="s">
        <v>114</v>
      </c>
      <c r="B23" s="25" t="s">
        <v>115</v>
      </c>
      <c r="C23" s="25">
        <v>2000.0</v>
      </c>
      <c r="D23" s="25">
        <v>35.0</v>
      </c>
      <c r="E23" s="25">
        <f t="shared" si="9"/>
        <v>70000</v>
      </c>
      <c r="F23" s="25" t="s">
        <v>105</v>
      </c>
      <c r="G23" s="25" t="s">
        <v>116</v>
      </c>
      <c r="H23" s="25" t="s">
        <v>107</v>
      </c>
      <c r="I23" s="28"/>
      <c r="J23" s="28"/>
    </row>
    <row r="24">
      <c r="A24" s="25" t="s">
        <v>117</v>
      </c>
      <c r="B24" s="25" t="s">
        <v>118</v>
      </c>
      <c r="C24" s="25">
        <v>50.0</v>
      </c>
      <c r="D24" s="25">
        <v>20.0</v>
      </c>
      <c r="E24" s="25">
        <f t="shared" si="9"/>
        <v>1000</v>
      </c>
      <c r="F24" s="25" t="s">
        <v>105</v>
      </c>
      <c r="G24" s="25" t="s">
        <v>116</v>
      </c>
      <c r="H24" s="25" t="s">
        <v>89</v>
      </c>
      <c r="I24" s="28"/>
      <c r="J24" s="28"/>
    </row>
    <row r="25">
      <c r="A25" s="25" t="s">
        <v>119</v>
      </c>
      <c r="B25" s="25" t="s">
        <v>120</v>
      </c>
      <c r="C25" s="25">
        <v>3000.0</v>
      </c>
      <c r="D25" s="25">
        <v>12.0</v>
      </c>
      <c r="E25" s="25">
        <f t="shared" si="9"/>
        <v>36000</v>
      </c>
      <c r="F25" s="25" t="s">
        <v>105</v>
      </c>
      <c r="G25" s="25" t="s">
        <v>116</v>
      </c>
      <c r="H25" s="25" t="s">
        <v>89</v>
      </c>
      <c r="I25" s="28"/>
      <c r="J25" s="28"/>
    </row>
    <row r="26">
      <c r="A26" s="25" t="s">
        <v>80</v>
      </c>
      <c r="B26" s="25" t="s">
        <v>121</v>
      </c>
      <c r="C26" s="25">
        <v>25.0</v>
      </c>
      <c r="D26" s="25">
        <v>825.0</v>
      </c>
      <c r="E26" s="25">
        <f t="shared" si="9"/>
        <v>20625</v>
      </c>
      <c r="F26" s="25" t="s">
        <v>105</v>
      </c>
      <c r="G26" s="25" t="s">
        <v>122</v>
      </c>
      <c r="H26" s="25" t="s">
        <v>89</v>
      </c>
      <c r="I26" s="28"/>
      <c r="J26" s="28"/>
    </row>
    <row r="27">
      <c r="A27" s="25" t="s">
        <v>80</v>
      </c>
      <c r="B27" s="25" t="s">
        <v>123</v>
      </c>
      <c r="C27" s="25">
        <v>10.0</v>
      </c>
      <c r="D27" s="25">
        <v>900.0</v>
      </c>
      <c r="E27" s="25">
        <f t="shared" si="9"/>
        <v>9000</v>
      </c>
      <c r="F27" s="25" t="s">
        <v>105</v>
      </c>
      <c r="G27" s="25" t="s">
        <v>122</v>
      </c>
      <c r="H27" s="25" t="s">
        <v>89</v>
      </c>
      <c r="I27" s="28"/>
      <c r="J27" s="28"/>
    </row>
    <row r="28">
      <c r="A28" s="25" t="s">
        <v>124</v>
      </c>
      <c r="B28" s="25" t="s">
        <v>125</v>
      </c>
      <c r="C28" s="25">
        <v>200.0</v>
      </c>
      <c r="D28" s="25">
        <v>100.0</v>
      </c>
      <c r="E28" s="25">
        <f t="shared" si="9"/>
        <v>20000</v>
      </c>
      <c r="F28" s="25" t="s">
        <v>105</v>
      </c>
      <c r="G28" s="25" t="s">
        <v>12</v>
      </c>
      <c r="H28" s="25" t="s">
        <v>126</v>
      </c>
      <c r="I28" s="28"/>
      <c r="J28" s="28"/>
    </row>
    <row r="29">
      <c r="A29" s="25" t="s">
        <v>127</v>
      </c>
      <c r="B29" s="25" t="s">
        <v>128</v>
      </c>
      <c r="C29" s="25">
        <v>2500.0</v>
      </c>
      <c r="D29" s="25">
        <v>12.0</v>
      </c>
      <c r="E29" s="25">
        <f t="shared" si="9"/>
        <v>30000</v>
      </c>
      <c r="F29" s="25" t="s">
        <v>105</v>
      </c>
      <c r="G29" s="25" t="s">
        <v>113</v>
      </c>
      <c r="H29" s="25" t="s">
        <v>126</v>
      </c>
      <c r="I29" s="28"/>
      <c r="J29" s="28"/>
    </row>
    <row r="30">
      <c r="A30" s="25" t="s">
        <v>124</v>
      </c>
      <c r="B30" s="25" t="s">
        <v>129</v>
      </c>
      <c r="C30" s="25">
        <v>5000.0</v>
      </c>
      <c r="D30" s="25">
        <v>8.0</v>
      </c>
      <c r="E30" s="25">
        <f t="shared" si="9"/>
        <v>40000</v>
      </c>
      <c r="F30" s="25" t="s">
        <v>105</v>
      </c>
      <c r="G30" s="25" t="s">
        <v>113</v>
      </c>
      <c r="H30" s="25" t="s">
        <v>126</v>
      </c>
      <c r="I30" s="28"/>
      <c r="J30" s="28"/>
    </row>
    <row r="31">
      <c r="A31" s="25" t="s">
        <v>124</v>
      </c>
      <c r="B31" s="25" t="s">
        <v>130</v>
      </c>
      <c r="C31" s="25">
        <v>7000.0</v>
      </c>
      <c r="D31" s="25">
        <v>5.0</v>
      </c>
      <c r="E31" s="25">
        <f t="shared" si="9"/>
        <v>35000</v>
      </c>
      <c r="F31" s="25" t="s">
        <v>105</v>
      </c>
      <c r="G31" s="25" t="s">
        <v>13</v>
      </c>
      <c r="H31" s="25" t="s">
        <v>126</v>
      </c>
      <c r="I31" s="28"/>
      <c r="J31" s="2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19.13"/>
    <col customWidth="1" min="3" max="3" width="18.75"/>
    <col customWidth="1" min="6" max="6" width="18.0"/>
    <col customWidth="1" min="7" max="7" width="16.75"/>
    <col customWidth="1" min="8" max="8" width="16.88"/>
    <col customWidth="1" min="17" max="17" width="16.38"/>
  </cols>
  <sheetData>
    <row r="1">
      <c r="A1" s="31" t="s">
        <v>131</v>
      </c>
    </row>
    <row r="2">
      <c r="A2" s="28"/>
      <c r="B2" s="28"/>
      <c r="C2" s="28"/>
      <c r="D2" s="28"/>
      <c r="E2" s="28"/>
      <c r="F2" s="28"/>
      <c r="G2" s="28"/>
      <c r="H2" s="28"/>
      <c r="I2" s="28"/>
      <c r="J2" s="32"/>
      <c r="K2" s="32"/>
      <c r="L2" s="32"/>
      <c r="M2" s="32"/>
      <c r="N2" s="32"/>
      <c r="O2" s="32"/>
      <c r="P2" s="32"/>
      <c r="Q2" s="32"/>
    </row>
    <row r="3">
      <c r="A3" s="28"/>
      <c r="B3" s="28"/>
      <c r="C3" s="28"/>
      <c r="D3" s="28"/>
      <c r="E3" s="28"/>
      <c r="F3" s="28"/>
      <c r="G3" s="28"/>
      <c r="H3" s="28"/>
      <c r="I3" s="28"/>
      <c r="J3" s="32"/>
      <c r="K3" s="32"/>
      <c r="L3" s="32"/>
      <c r="M3" s="32"/>
      <c r="N3" s="32"/>
      <c r="O3" s="32"/>
      <c r="P3" s="32"/>
      <c r="Q3" s="32"/>
    </row>
    <row r="4">
      <c r="A4" s="33" t="s">
        <v>132</v>
      </c>
      <c r="B4" s="33" t="s">
        <v>133</v>
      </c>
      <c r="C4" s="33" t="s">
        <v>134</v>
      </c>
      <c r="D4" s="33" t="s">
        <v>37</v>
      </c>
      <c r="E4" s="33" t="s">
        <v>38</v>
      </c>
      <c r="F4" s="33" t="s">
        <v>135</v>
      </c>
      <c r="G4" s="33" t="s">
        <v>40</v>
      </c>
      <c r="H4" s="33" t="s">
        <v>41</v>
      </c>
      <c r="I4" s="33" t="s">
        <v>42</v>
      </c>
      <c r="J4" s="33" t="s">
        <v>43</v>
      </c>
      <c r="K4" s="33" t="s">
        <v>136</v>
      </c>
      <c r="L4" s="33" t="s">
        <v>137</v>
      </c>
      <c r="M4" s="33" t="s">
        <v>46</v>
      </c>
      <c r="N4" s="33" t="s">
        <v>47</v>
      </c>
      <c r="O4" s="33" t="s">
        <v>138</v>
      </c>
      <c r="P4" s="33" t="s">
        <v>139</v>
      </c>
      <c r="Q4" s="33" t="s">
        <v>77</v>
      </c>
    </row>
    <row r="5">
      <c r="A5" s="33" t="s">
        <v>140</v>
      </c>
      <c r="B5" s="33">
        <v>2000.0</v>
      </c>
      <c r="C5" s="33">
        <v>0.0</v>
      </c>
      <c r="D5" s="33">
        <v>50.0</v>
      </c>
      <c r="E5" s="33">
        <v>150.0</v>
      </c>
      <c r="F5" s="33">
        <v>300.0</v>
      </c>
      <c r="G5" s="33">
        <v>500.0</v>
      </c>
      <c r="H5" s="33">
        <v>700.0</v>
      </c>
      <c r="I5" s="33">
        <v>1000.0</v>
      </c>
      <c r="J5" s="33">
        <v>1300.0</v>
      </c>
      <c r="K5" s="33">
        <v>1600.0</v>
      </c>
      <c r="L5" s="33">
        <v>1800.0</v>
      </c>
      <c r="M5" s="33">
        <v>1950.0</v>
      </c>
      <c r="N5" s="33">
        <v>2000.0</v>
      </c>
      <c r="O5" s="34">
        <f t="shared" ref="O5:O11" si="1">SUM(C5:N5)</f>
        <v>11350</v>
      </c>
      <c r="P5" s="35">
        <f t="shared" ref="P5:P11" si="2">B5/O5</f>
        <v>0.1762114537</v>
      </c>
      <c r="Q5" s="33" t="str">
        <f t="shared" ref="Q5:Q12" si="3">SWITCH(TRUE,
 F2&gt;=15%,"✓ Achieved",
 F5&gt;=10%,"⚠ At Risk",P5)</f>
        <v>⚠ At Risk</v>
      </c>
    </row>
    <row r="6">
      <c r="A6" s="33" t="s">
        <v>141</v>
      </c>
      <c r="B6" s="33">
        <v>50.0</v>
      </c>
      <c r="C6" s="33">
        <v>0.0</v>
      </c>
      <c r="D6" s="33">
        <v>5.0</v>
      </c>
      <c r="E6" s="33">
        <v>8.0</v>
      </c>
      <c r="F6" s="33">
        <v>12.0</v>
      </c>
      <c r="G6" s="33">
        <v>18.0</v>
      </c>
      <c r="H6" s="33">
        <v>25.0</v>
      </c>
      <c r="I6" s="33">
        <v>32.0</v>
      </c>
      <c r="J6" s="33">
        <v>40.0</v>
      </c>
      <c r="K6" s="33">
        <v>45.0</v>
      </c>
      <c r="L6" s="33">
        <v>48.0</v>
      </c>
      <c r="M6" s="33">
        <v>50.0</v>
      </c>
      <c r="N6" s="33">
        <v>50.0</v>
      </c>
      <c r="O6" s="34">
        <f t="shared" si="1"/>
        <v>333</v>
      </c>
      <c r="P6" s="35">
        <f t="shared" si="2"/>
        <v>0.1501501502</v>
      </c>
      <c r="Q6" s="33" t="str">
        <f t="shared" si="3"/>
        <v>⚠ At Risk</v>
      </c>
    </row>
    <row r="7">
      <c r="A7" s="33" t="s">
        <v>142</v>
      </c>
      <c r="B7" s="33">
        <v>70.0</v>
      </c>
      <c r="C7" s="33">
        <v>0.0</v>
      </c>
      <c r="D7" s="33">
        <v>0.0</v>
      </c>
      <c r="E7" s="33">
        <v>0.0</v>
      </c>
      <c r="F7" s="33">
        <v>10.0</v>
      </c>
      <c r="G7" s="33">
        <v>35.0</v>
      </c>
      <c r="H7" s="33">
        <v>40.0</v>
      </c>
      <c r="I7" s="33">
        <v>50.0</v>
      </c>
      <c r="J7" s="33">
        <v>58.0</v>
      </c>
      <c r="K7" s="33">
        <v>65.0</v>
      </c>
      <c r="L7" s="33">
        <v>68.0</v>
      </c>
      <c r="M7" s="33">
        <v>70.0</v>
      </c>
      <c r="N7" s="33">
        <v>72.0</v>
      </c>
      <c r="O7" s="34">
        <f t="shared" si="1"/>
        <v>468</v>
      </c>
      <c r="P7" s="35">
        <f t="shared" si="2"/>
        <v>0.1495726496</v>
      </c>
      <c r="Q7" s="33" t="str">
        <f t="shared" si="3"/>
        <v>✓ Achieved</v>
      </c>
    </row>
    <row r="8">
      <c r="A8" s="33" t="s">
        <v>143</v>
      </c>
      <c r="B8" s="33">
        <v>2000.0</v>
      </c>
      <c r="C8" s="33">
        <v>0.0</v>
      </c>
      <c r="D8" s="33">
        <v>0.0</v>
      </c>
      <c r="E8" s="33">
        <v>0.0</v>
      </c>
      <c r="F8" s="33">
        <v>100.0</v>
      </c>
      <c r="G8" s="33">
        <v>300.0</v>
      </c>
      <c r="H8" s="33">
        <v>500.0</v>
      </c>
      <c r="I8" s="33">
        <v>700.0</v>
      </c>
      <c r="J8" s="33">
        <v>950.0</v>
      </c>
      <c r="K8" s="33">
        <v>1200.0</v>
      </c>
      <c r="L8" s="33">
        <v>1500.0</v>
      </c>
      <c r="M8" s="33">
        <v>1800.0</v>
      </c>
      <c r="N8" s="33">
        <v>2000.0</v>
      </c>
      <c r="O8" s="34">
        <f t="shared" si="1"/>
        <v>9050</v>
      </c>
      <c r="P8" s="35">
        <f t="shared" si="2"/>
        <v>0.2209944751</v>
      </c>
      <c r="Q8" s="33" t="str">
        <f t="shared" si="3"/>
        <v>✓ Achieved</v>
      </c>
    </row>
    <row r="9">
      <c r="A9" s="33" t="s">
        <v>144</v>
      </c>
      <c r="B9" s="33">
        <v>12.0</v>
      </c>
      <c r="C9" s="33">
        <v>0.0</v>
      </c>
      <c r="D9" s="33">
        <v>0.0</v>
      </c>
      <c r="E9" s="33">
        <v>0.0</v>
      </c>
      <c r="F9" s="33">
        <v>0.0</v>
      </c>
      <c r="G9" s="33">
        <v>2.0</v>
      </c>
      <c r="H9" s="33">
        <v>4.0</v>
      </c>
      <c r="I9" s="33">
        <v>8.0</v>
      </c>
      <c r="J9" s="33">
        <v>10.0</v>
      </c>
      <c r="K9" s="33">
        <v>12.0</v>
      </c>
      <c r="L9" s="33">
        <v>12.0</v>
      </c>
      <c r="M9" s="33">
        <v>12.0</v>
      </c>
      <c r="N9" s="33">
        <v>12.0</v>
      </c>
      <c r="O9" s="34">
        <f t="shared" si="1"/>
        <v>72</v>
      </c>
      <c r="P9" s="35">
        <f t="shared" si="2"/>
        <v>0.1666666667</v>
      </c>
      <c r="Q9" s="33" t="str">
        <f t="shared" si="3"/>
        <v>✓ Achieved</v>
      </c>
    </row>
    <row r="10">
      <c r="A10" s="33" t="s">
        <v>145</v>
      </c>
      <c r="B10" s="33">
        <v>5.0</v>
      </c>
      <c r="C10" s="33">
        <v>0.0</v>
      </c>
      <c r="D10" s="33">
        <v>0.0</v>
      </c>
      <c r="E10" s="33">
        <v>0.0</v>
      </c>
      <c r="F10" s="33">
        <v>0.0</v>
      </c>
      <c r="G10" s="33">
        <v>1.2</v>
      </c>
      <c r="H10" s="33">
        <v>2.5</v>
      </c>
      <c r="I10" s="33">
        <v>3.5</v>
      </c>
      <c r="J10" s="33">
        <v>4.2</v>
      </c>
      <c r="K10" s="33">
        <v>4.8</v>
      </c>
      <c r="L10" s="33">
        <v>5.2</v>
      </c>
      <c r="M10" s="33">
        <v>5.5</v>
      </c>
      <c r="N10" s="33">
        <v>5.8</v>
      </c>
      <c r="O10" s="34">
        <f t="shared" si="1"/>
        <v>32.7</v>
      </c>
      <c r="P10" s="35">
        <f t="shared" si="2"/>
        <v>0.1529051988</v>
      </c>
      <c r="Q10" s="33" t="str">
        <f t="shared" si="3"/>
        <v>✓ Achieved</v>
      </c>
    </row>
    <row r="11">
      <c r="A11" s="33" t="s">
        <v>146</v>
      </c>
      <c r="B11" s="33">
        <v>100.0</v>
      </c>
      <c r="C11" s="33">
        <v>12.0</v>
      </c>
      <c r="D11" s="33">
        <v>24.0</v>
      </c>
      <c r="E11" s="33">
        <v>36.0</v>
      </c>
      <c r="F11" s="33">
        <v>48.0</v>
      </c>
      <c r="G11" s="33">
        <v>60.0</v>
      </c>
      <c r="H11" s="33">
        <v>72.0</v>
      </c>
      <c r="I11" s="33">
        <v>82.0</v>
      </c>
      <c r="J11" s="33">
        <v>88.0</v>
      </c>
      <c r="K11" s="33">
        <v>92.0</v>
      </c>
      <c r="L11" s="33">
        <v>96.0</v>
      </c>
      <c r="M11" s="33">
        <v>98.0</v>
      </c>
      <c r="N11" s="33">
        <v>100.0</v>
      </c>
      <c r="O11" s="34">
        <f t="shared" si="1"/>
        <v>808</v>
      </c>
      <c r="P11" s="35">
        <f t="shared" si="2"/>
        <v>0.1237623762</v>
      </c>
      <c r="Q11" s="33" t="str">
        <f t="shared" si="3"/>
        <v>✓ Achieved</v>
      </c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32"/>
      <c r="K12" s="32"/>
      <c r="L12" s="32"/>
      <c r="M12" s="32"/>
      <c r="N12" s="32"/>
      <c r="O12" s="32"/>
      <c r="P12" s="32"/>
      <c r="Q12" s="36" t="str">
        <f t="shared" si="3"/>
        <v/>
      </c>
    </row>
    <row r="13">
      <c r="A13" s="31" t="s">
        <v>147</v>
      </c>
      <c r="H13" s="28"/>
      <c r="I13" s="28"/>
      <c r="J13" s="32"/>
      <c r="K13" s="32"/>
      <c r="L13" s="32"/>
      <c r="M13" s="32"/>
      <c r="N13" s="32"/>
      <c r="O13" s="32"/>
      <c r="P13" s="32"/>
      <c r="Q13" s="32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32"/>
      <c r="K14" s="32"/>
      <c r="L14" s="32"/>
      <c r="M14" s="32"/>
      <c r="N14" s="32"/>
      <c r="O14" s="32"/>
      <c r="P14" s="32"/>
      <c r="Q14" s="32"/>
    </row>
    <row r="15">
      <c r="A15" s="24" t="s">
        <v>100</v>
      </c>
      <c r="B15" s="24" t="s">
        <v>148</v>
      </c>
      <c r="C15" s="24" t="s">
        <v>149</v>
      </c>
      <c r="D15" s="24" t="s">
        <v>150</v>
      </c>
      <c r="E15" s="24" t="s">
        <v>151</v>
      </c>
      <c r="F15" s="24" t="s">
        <v>152</v>
      </c>
      <c r="G15" s="24" t="s">
        <v>153</v>
      </c>
      <c r="H15" s="28"/>
      <c r="I15" s="28"/>
      <c r="J15" s="32"/>
      <c r="K15" s="32"/>
      <c r="L15" s="32"/>
      <c r="M15" s="32"/>
      <c r="N15" s="32"/>
      <c r="O15" s="32"/>
      <c r="P15" s="32"/>
      <c r="Q15" s="32"/>
    </row>
    <row r="16">
      <c r="A16" s="25" t="s">
        <v>154</v>
      </c>
      <c r="B16" s="25">
        <v>800.0</v>
      </c>
      <c r="C16" s="25">
        <v>20.0</v>
      </c>
      <c r="D16" s="27">
        <v>0.75</v>
      </c>
      <c r="E16" s="25" t="s">
        <v>155</v>
      </c>
      <c r="F16" s="25" t="s">
        <v>156</v>
      </c>
      <c r="G16" s="27">
        <v>0.98</v>
      </c>
      <c r="H16" s="28"/>
      <c r="I16" s="28"/>
      <c r="J16" s="32"/>
      <c r="K16" s="32"/>
      <c r="L16" s="32"/>
      <c r="M16" s="32"/>
      <c r="N16" s="32"/>
      <c r="O16" s="32"/>
      <c r="P16" s="32"/>
      <c r="Q16" s="32"/>
    </row>
    <row r="17">
      <c r="A17" s="25" t="s">
        <v>157</v>
      </c>
      <c r="B17" s="25">
        <v>500.0</v>
      </c>
      <c r="C17" s="25">
        <v>12.0</v>
      </c>
      <c r="D17" s="27">
        <v>0.72</v>
      </c>
      <c r="E17" s="25" t="s">
        <v>158</v>
      </c>
      <c r="F17" s="25" t="s">
        <v>159</v>
      </c>
      <c r="G17" s="27">
        <v>1.0</v>
      </c>
      <c r="H17" s="28"/>
      <c r="I17" s="28"/>
      <c r="J17" s="32"/>
      <c r="K17" s="32"/>
      <c r="L17" s="32"/>
      <c r="M17" s="32"/>
      <c r="N17" s="32"/>
      <c r="O17" s="32"/>
      <c r="P17" s="32"/>
      <c r="Q17" s="32"/>
    </row>
    <row r="18">
      <c r="A18" s="25" t="s">
        <v>160</v>
      </c>
      <c r="B18" s="25">
        <v>400.0</v>
      </c>
      <c r="C18" s="25">
        <v>10.0</v>
      </c>
      <c r="D18" s="27">
        <v>0.68</v>
      </c>
      <c r="E18" s="25" t="s">
        <v>161</v>
      </c>
      <c r="F18" s="25" t="s">
        <v>162</v>
      </c>
      <c r="G18" s="27">
        <v>0.99</v>
      </c>
      <c r="H18" s="28"/>
      <c r="I18" s="28"/>
      <c r="J18" s="32"/>
      <c r="K18" s="32"/>
      <c r="L18" s="32"/>
      <c r="M18" s="32"/>
      <c r="N18" s="32"/>
      <c r="O18" s="32"/>
      <c r="P18" s="32"/>
      <c r="Q18" s="32"/>
    </row>
    <row r="19">
      <c r="A19" s="25" t="s">
        <v>163</v>
      </c>
      <c r="B19" s="25">
        <v>300.0</v>
      </c>
      <c r="C19" s="25">
        <v>8.0</v>
      </c>
      <c r="D19" s="27">
        <v>0.65</v>
      </c>
      <c r="E19" s="25" t="s">
        <v>164</v>
      </c>
      <c r="F19" s="25" t="s">
        <v>165</v>
      </c>
      <c r="G19" s="27">
        <v>0.97</v>
      </c>
      <c r="H19" s="28"/>
      <c r="I19" s="28"/>
      <c r="J19" s="32"/>
      <c r="K19" s="32"/>
      <c r="L19" s="32"/>
      <c r="M19" s="32"/>
      <c r="N19" s="32"/>
      <c r="O19" s="32"/>
      <c r="P19" s="32"/>
      <c r="Q19" s="32"/>
    </row>
    <row r="20">
      <c r="A20" s="25" t="s">
        <v>166</v>
      </c>
      <c r="B20" s="25">
        <f t="shared" ref="B20:G20" si="4">SUM(B16:B19)</f>
        <v>2000</v>
      </c>
      <c r="C20" s="25">
        <f t="shared" si="4"/>
        <v>50</v>
      </c>
      <c r="D20" s="27">
        <f t="shared" si="4"/>
        <v>2.8</v>
      </c>
      <c r="E20" s="25">
        <f t="shared" si="4"/>
        <v>0</v>
      </c>
      <c r="F20" s="25">
        <f t="shared" si="4"/>
        <v>0</v>
      </c>
      <c r="G20" s="27">
        <f t="shared" si="4"/>
        <v>3.94</v>
      </c>
      <c r="H20" s="28"/>
      <c r="I20" s="28"/>
      <c r="J20" s="32"/>
      <c r="K20" s="32"/>
      <c r="L20" s="32"/>
      <c r="M20" s="32"/>
      <c r="N20" s="32"/>
      <c r="O20" s="32"/>
      <c r="P20" s="32"/>
      <c r="Q20" s="32"/>
    </row>
    <row r="21">
      <c r="J21" s="37"/>
      <c r="K21" s="37"/>
      <c r="L21" s="37"/>
      <c r="M21" s="37"/>
      <c r="N21" s="37"/>
      <c r="O21" s="37"/>
      <c r="P21" s="37"/>
      <c r="Q21" s="37"/>
    </row>
  </sheetData>
  <mergeCells count="2">
    <mergeCell ref="A1:Q1"/>
    <mergeCell ref="A13:G13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1.75"/>
    <col customWidth="1" min="6" max="6" width="34.5"/>
  </cols>
  <sheetData>
    <row r="1">
      <c r="A1" s="38" t="s">
        <v>167</v>
      </c>
      <c r="B1" s="38" t="s">
        <v>168</v>
      </c>
      <c r="C1" s="38" t="s">
        <v>169</v>
      </c>
      <c r="D1" s="38" t="s">
        <v>170</v>
      </c>
      <c r="E1" s="38" t="s">
        <v>171</v>
      </c>
      <c r="F1" s="38" t="s">
        <v>172</v>
      </c>
      <c r="G1" s="38" t="s">
        <v>77</v>
      </c>
    </row>
    <row r="2">
      <c r="A2" s="38" t="s">
        <v>173</v>
      </c>
      <c r="B2" s="38" t="s">
        <v>174</v>
      </c>
      <c r="C2" s="38" t="s">
        <v>175</v>
      </c>
      <c r="D2" s="38" t="s">
        <v>176</v>
      </c>
      <c r="E2" s="38">
        <v>6.0</v>
      </c>
      <c r="F2" s="38" t="s">
        <v>177</v>
      </c>
      <c r="G2" s="38" t="s">
        <v>178</v>
      </c>
    </row>
    <row r="3">
      <c r="A3" s="38" t="s">
        <v>179</v>
      </c>
      <c r="B3" s="38" t="s">
        <v>180</v>
      </c>
      <c r="C3" s="38" t="s">
        <v>176</v>
      </c>
      <c r="D3" s="38" t="s">
        <v>181</v>
      </c>
      <c r="E3" s="38">
        <v>6.0</v>
      </c>
      <c r="F3" s="38" t="s">
        <v>182</v>
      </c>
      <c r="G3" s="38" t="s">
        <v>183</v>
      </c>
    </row>
    <row r="4">
      <c r="A4" s="38" t="s">
        <v>184</v>
      </c>
      <c r="B4" s="38" t="s">
        <v>185</v>
      </c>
      <c r="C4" s="38" t="s">
        <v>186</v>
      </c>
      <c r="D4" s="38" t="s">
        <v>181</v>
      </c>
      <c r="E4" s="38">
        <v>3.0</v>
      </c>
      <c r="F4" s="38" t="s">
        <v>187</v>
      </c>
      <c r="G4" s="38" t="s">
        <v>188</v>
      </c>
    </row>
    <row r="5">
      <c r="A5" s="38" t="s">
        <v>189</v>
      </c>
      <c r="B5" s="38" t="s">
        <v>190</v>
      </c>
      <c r="C5" s="38" t="s">
        <v>176</v>
      </c>
      <c r="D5" s="38" t="s">
        <v>176</v>
      </c>
      <c r="E5" s="38">
        <v>4.0</v>
      </c>
      <c r="F5" s="38" t="s">
        <v>191</v>
      </c>
      <c r="G5" s="38" t="s">
        <v>192</v>
      </c>
    </row>
    <row r="6">
      <c r="A6" s="38" t="s">
        <v>193</v>
      </c>
      <c r="B6" s="38" t="s">
        <v>194</v>
      </c>
      <c r="C6" s="38" t="s">
        <v>186</v>
      </c>
      <c r="D6" s="38" t="s">
        <v>176</v>
      </c>
      <c r="E6" s="38">
        <v>2.0</v>
      </c>
      <c r="F6" s="38" t="s">
        <v>195</v>
      </c>
      <c r="G6" s="38" t="s">
        <v>196</v>
      </c>
    </row>
    <row r="7">
      <c r="A7" s="39"/>
      <c r="B7" s="39"/>
      <c r="C7" s="39"/>
      <c r="D7" s="39"/>
      <c r="E7" s="39"/>
      <c r="F7" s="39"/>
      <c r="G7" s="39"/>
    </row>
    <row r="8">
      <c r="A8" s="40" t="s">
        <v>197</v>
      </c>
      <c r="B8" s="41">
        <f t="shared" ref="B8:B12" si="1">IF(C2="High",3,IF(D2="Medium",2,1)) * IF(E2="High",3,IF(C2="Medium",2,1))</f>
        <v>2</v>
      </c>
      <c r="C8" s="34"/>
      <c r="D8" s="39"/>
      <c r="E8" s="39"/>
      <c r="F8" s="40" t="s">
        <v>198</v>
      </c>
      <c r="G8" s="38" t="s">
        <v>199</v>
      </c>
    </row>
    <row r="9">
      <c r="A9" s="40" t="s">
        <v>200</v>
      </c>
      <c r="B9" s="41">
        <f t="shared" si="1"/>
        <v>2</v>
      </c>
      <c r="C9" s="34"/>
      <c r="D9" s="39"/>
      <c r="E9" s="39"/>
      <c r="F9" s="40" t="s">
        <v>201</v>
      </c>
      <c r="G9" s="38">
        <v>3.0</v>
      </c>
    </row>
    <row r="10">
      <c r="A10" s="40" t="s">
        <v>202</v>
      </c>
      <c r="B10" s="41">
        <f t="shared" si="1"/>
        <v>1</v>
      </c>
      <c r="C10" s="34"/>
      <c r="D10" s="39"/>
      <c r="E10" s="39"/>
      <c r="F10" s="40" t="s">
        <v>176</v>
      </c>
      <c r="G10" s="38">
        <v>2.0</v>
      </c>
    </row>
    <row r="11">
      <c r="A11" s="40" t="s">
        <v>203</v>
      </c>
      <c r="B11" s="41">
        <f t="shared" si="1"/>
        <v>4</v>
      </c>
      <c r="C11" s="34"/>
      <c r="D11" s="39"/>
      <c r="E11" s="39"/>
      <c r="F11" s="40" t="s">
        <v>204</v>
      </c>
      <c r="G11" s="38">
        <v>1.0</v>
      </c>
    </row>
    <row r="12">
      <c r="A12" s="40" t="s">
        <v>205</v>
      </c>
      <c r="B12" s="41">
        <f t="shared" si="1"/>
        <v>2</v>
      </c>
      <c r="C12" s="34"/>
      <c r="D12" s="39"/>
      <c r="E12" s="39"/>
      <c r="F12" s="39"/>
      <c r="G12" s="39"/>
    </row>
    <row r="13">
      <c r="A13" s="42"/>
      <c r="B13" s="42"/>
      <c r="D13" s="42"/>
      <c r="E13" s="42"/>
      <c r="F13" s="42"/>
      <c r="G13" s="42"/>
    </row>
    <row r="14">
      <c r="A14" s="42"/>
      <c r="B14" s="42"/>
      <c r="D14" s="42"/>
      <c r="E14" s="42"/>
      <c r="F14" s="42"/>
      <c r="G14" s="42"/>
    </row>
    <row r="15">
      <c r="D15" s="42"/>
      <c r="E15" s="42"/>
      <c r="F15" s="42"/>
      <c r="G15" s="42"/>
    </row>
    <row r="16">
      <c r="D16" s="42"/>
      <c r="E16" s="42"/>
      <c r="F16" s="42"/>
      <c r="G16" s="42"/>
    </row>
    <row r="17">
      <c r="D17" s="42"/>
      <c r="E17" s="42"/>
      <c r="F17" s="42"/>
      <c r="G17" s="42"/>
    </row>
    <row r="18">
      <c r="D18" s="42"/>
      <c r="E18" s="42"/>
      <c r="F18" s="42"/>
      <c r="G18" s="42"/>
    </row>
    <row r="19">
      <c r="A19" s="6"/>
      <c r="B19" s="6"/>
      <c r="C19" s="6"/>
      <c r="D19" s="6"/>
      <c r="E19" s="6"/>
      <c r="F19" s="6"/>
      <c r="G19" s="6"/>
    </row>
  </sheetData>
  <drawing r:id="rId1"/>
  <tableParts count="1">
    <tablePart r:id="rId3"/>
  </tableParts>
</worksheet>
</file>